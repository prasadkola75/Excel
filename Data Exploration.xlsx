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assignment 1_Data exploration\"/>
    </mc:Choice>
  </mc:AlternateContent>
  <xr:revisionPtr revIDLastSave="0" documentId="13_ncr:1_{0CC22F6A-1AAE-41FD-AC87-91C467C8B02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D48" i="2" l="1"/>
  <c r="D45" i="2"/>
  <c r="E42" i="2"/>
  <c r="B42" i="2"/>
  <c r="H39" i="2"/>
  <c r="E39" i="2"/>
  <c r="B39" i="2"/>
  <c r="G35" i="2"/>
  <c r="G23" i="2"/>
  <c r="G24" i="2"/>
  <c r="G25" i="2"/>
  <c r="G26" i="2"/>
  <c r="G27" i="2"/>
  <c r="G28" i="2"/>
  <c r="G29" i="2"/>
  <c r="G30" i="2"/>
  <c r="G31" i="2"/>
  <c r="G32" i="2"/>
  <c r="G33" i="2"/>
  <c r="G34" i="2"/>
  <c r="G12" i="2"/>
  <c r="G13" i="2"/>
  <c r="G14" i="2"/>
  <c r="G15" i="2"/>
  <c r="G16" i="2"/>
  <c r="G17" i="2"/>
  <c r="G18" i="2"/>
  <c r="G19" i="2"/>
  <c r="G20" i="2"/>
  <c r="G21" i="2"/>
  <c r="G22" i="2"/>
  <c r="G5" i="2"/>
  <c r="G6" i="2"/>
  <c r="G7" i="2"/>
  <c r="G8" i="2"/>
  <c r="G9" i="2"/>
  <c r="G10" i="2"/>
  <c r="G11" i="2"/>
  <c r="G3" i="2"/>
  <c r="G4" i="2"/>
  <c r="G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<sst xmlns="http://schemas.openxmlformats.org/spreadsheetml/2006/main" count="170" uniqueCount="121">
  <si>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</si>
  <si>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</si>
  <si>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</si>
  <si>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</si>
  <si>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</si>
  <si>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</si>
  <si>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</si>
  <si>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</si>
  <si>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</si>
  <si>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</si>
  <si>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</si>
  <si>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</si>
  <si>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</si>
  <si>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</si>
  <si>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</si>
  <si>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</si>
  <si>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</si>
  <si>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</si>
  <si>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</si>
  <si>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</si>
  <si>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</si>
  <si>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</si>
  <si>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</si>
  <si>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</si>
  <si>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</si>
  <si>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</si>
  <si>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</si>
  <si>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</si>
  <si>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</si>
  <si>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</si>
  <si>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</si>
  <si>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</si>
  <si>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</si>
  <si>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</si>
  <si>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</si>
  <si>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</si>
  <si>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</si>
  <si>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</si>
  <si>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</si>
  <si>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</si>
  <si>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</si>
  <si>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</si>
  <si>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</si>
  <si>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</si>
  <si>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</si>
  <si>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</si>
  <si>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</si>
  <si>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</si>
  <si>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</si>
  <si>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</si>
  <si>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</si>
  <si>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</si>
  <si>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</si>
  <si>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</si>
  <si>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</si>
  <si>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</si>
  <si>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</si>
  <si>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</si>
  <si>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</si>
  <si>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</si>
  <si>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</si>
  <si>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</si>
  <si>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</si>
  <si>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</si>
  <si>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</si>
  <si>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</si>
  <si>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</si>
  <si>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</si>
  <si>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</si>
  <si>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</si>
  <si>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</si>
  <si>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</si>
  <si>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</si>
  <si>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</si>
  <si>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</si>
  <si>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</si>
  <si>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</si>
  <si>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</si>
  <si>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</si>
  <si>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</si>
  <si>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</si>
  <si>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</si>
  <si>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</si>
  <si>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</si>
  <si>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</si>
  <si>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</si>
  <si>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</si>
  <si>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</si>
  <si>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</si>
  <si>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</si>
  <si>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</si>
  <si>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</si>
  <si>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</si>
  <si>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</si>
  <si>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</si>
  <si>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</si>
  <si>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</si>
  <si>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</si>
  <si>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</si>
  <si>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</si>
  <si>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</si>
  <si>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</si>
  <si>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</si>
  <si>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</si>
  <si>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</si>
  <si>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</si>
  <si>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</si>
  <si>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</si>
  <si>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</si>
  <si>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</si>
  <si>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</si>
  <si>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</si>
  <si>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</si>
  <si>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</si>
  <si>
    <t>total price</t>
  </si>
  <si>
    <t>products</t>
  </si>
  <si>
    <t>Average Price</t>
  </si>
  <si>
    <t>Min Price</t>
  </si>
  <si>
    <t>Maximum price</t>
  </si>
  <si>
    <t>total price in electronics category</t>
  </si>
  <si>
    <t>products count with price less than100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</si>
</sst>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O13" sqref="O13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8" t="s">
        <v>16</v>
      </c>
      <c r="D4" s="2"/>
      <c r="E4" s="2"/>
      <c r="F4" s="2"/>
      <c r="G4" s="9">
        <v>10100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8" t="s">
        <v>24</v>
      </c>
      <c r="D5" s="2"/>
      <c r="E5" s="2"/>
      <c r="F5" s="2"/>
      <c r="G5" s="2">
        <v>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8" t="s">
        <v>29</v>
      </c>
      <c r="D6" s="2"/>
      <c r="E6" s="2"/>
      <c r="F6" s="2"/>
      <c r="G6" s="2">
        <v>297.05882350000002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8" t="s">
        <v>48</v>
      </c>
      <c r="D9" s="2"/>
      <c r="E9" s="2"/>
      <c r="F9" s="2"/>
      <c r="G9" s="2">
        <v>30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8" t="s">
        <v>55</v>
      </c>
      <c r="D10" s="2"/>
      <c r="E10" s="2"/>
      <c r="F10" s="2"/>
      <c r="G10" s="2">
        <v>1000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>
        <v>8050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>
        <v>11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E49" sqref="E49"/>
    </sheetView>
  </sheetViews>
  <sheetFormatPr defaultColWidth="12.6640625" defaultRowHeight="15" customHeight="1" x14ac:dyDescent="0.25"/>
  <cols>
    <col min="1" max="6" width="12.6640625" customWidth="1"/>
  </cols>
  <sheetData>
    <row r="1" spans="1:10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110</v>
      </c>
      <c r="H1" s="3" t="s">
        <v>111</v>
      </c>
      <c r="I1" s="3" t="s">
        <v>112</v>
      </c>
      <c r="J1" s="3" t="s">
        <v>113</v>
      </c>
    </row>
    <row r="2" spans="1:10" ht="15.75" customHeight="1" x14ac:dyDescent="0.25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t="str">
        <f>IF(D2&gt;=500,"High Price","Low price")</f>
        <v>High Price</v>
      </c>
      <c r="H2" t="str">
        <f>LEFT(A2,3)</f>
        <v>28-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t="str">
        <f t="shared" ref="G3:G35" si="0">IF(D3&gt;=500,"High Price","Low price")</f>
        <v>Low price</v>
      </c>
      <c r="H3" t="str">
        <f t="shared" ref="H3:H35" si="1">LEFT(A3,3)</f>
        <v>15-</v>
      </c>
      <c r="I3" t="str">
        <f t="shared" ref="I3:I35" si="2">RIGHT(A3,2)</f>
        <v>US</v>
      </c>
      <c r="J3" t="str">
        <f t="shared" ref="J3:J35" si="3">MID(A3,4,3)</f>
        <v>FEB</v>
      </c>
    </row>
    <row r="4" spans="1:10" ht="15.75" customHeight="1" x14ac:dyDescent="0.25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t="str">
        <f t="shared" si="0"/>
        <v>Low price</v>
      </c>
      <c r="H4" t="str">
        <f t="shared" si="1"/>
        <v>03-</v>
      </c>
      <c r="I4" t="str">
        <f t="shared" si="2"/>
        <v>US</v>
      </c>
      <c r="J4" t="str">
        <f t="shared" si="3"/>
        <v>MAR</v>
      </c>
    </row>
    <row r="5" spans="1:10" ht="15.75" customHeight="1" x14ac:dyDescent="0.25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t="str">
        <f t="shared" si="0"/>
        <v>High Price</v>
      </c>
      <c r="H5" t="str">
        <f t="shared" si="1"/>
        <v>11-</v>
      </c>
      <c r="I5" t="str">
        <f t="shared" si="2"/>
        <v>US</v>
      </c>
      <c r="J5" t="str">
        <f t="shared" si="3"/>
        <v>APR</v>
      </c>
    </row>
    <row r="6" spans="1:10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t="str">
        <f t="shared" si="0"/>
        <v>Low price</v>
      </c>
      <c r="H6" t="str">
        <f t="shared" si="1"/>
        <v>22-</v>
      </c>
      <c r="I6" t="str">
        <f t="shared" si="2"/>
        <v>US</v>
      </c>
      <c r="J6" t="str">
        <f t="shared" si="3"/>
        <v>MAY</v>
      </c>
    </row>
    <row r="7" spans="1:10" ht="15.75" customHeight="1" x14ac:dyDescent="0.25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t="str">
        <f t="shared" si="0"/>
        <v>Low price</v>
      </c>
      <c r="H7" t="str">
        <f t="shared" si="1"/>
        <v>07-</v>
      </c>
      <c r="I7" t="str">
        <f t="shared" si="2"/>
        <v>UK</v>
      </c>
      <c r="J7" t="str">
        <f t="shared" si="3"/>
        <v>JUN</v>
      </c>
    </row>
    <row r="8" spans="1:10" ht="15.75" customHeight="1" x14ac:dyDescent="0.25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t="str">
        <f t="shared" si="0"/>
        <v>Low price</v>
      </c>
      <c r="H8" t="str">
        <f t="shared" si="1"/>
        <v>19-</v>
      </c>
      <c r="I8" t="str">
        <f t="shared" si="2"/>
        <v>UK</v>
      </c>
      <c r="J8" t="str">
        <f t="shared" si="3"/>
        <v>JUL</v>
      </c>
    </row>
    <row r="9" spans="1:10" ht="15.75" customHeight="1" x14ac:dyDescent="0.25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t="str">
        <f t="shared" si="0"/>
        <v>Low price</v>
      </c>
      <c r="H9" t="str">
        <f t="shared" si="1"/>
        <v>23-</v>
      </c>
      <c r="I9" t="str">
        <f t="shared" si="2"/>
        <v>UK</v>
      </c>
      <c r="J9" t="str">
        <f t="shared" si="3"/>
        <v>AUG</v>
      </c>
    </row>
    <row r="10" spans="1:10" ht="15.75" customHeight="1" x14ac:dyDescent="0.25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t="str">
        <f t="shared" si="0"/>
        <v>High Price</v>
      </c>
      <c r="H10" t="str">
        <f t="shared" si="1"/>
        <v>05-</v>
      </c>
      <c r="I10" t="str">
        <f t="shared" si="2"/>
        <v>UK</v>
      </c>
      <c r="J10" t="str">
        <f t="shared" si="3"/>
        <v>SEP</v>
      </c>
    </row>
    <row r="11" spans="1:10" ht="15.75" customHeight="1" x14ac:dyDescent="0.25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t="str">
        <f t="shared" si="0"/>
        <v>Low price</v>
      </c>
      <c r="H11" t="str">
        <f t="shared" si="1"/>
        <v>14-</v>
      </c>
      <c r="I11" t="str">
        <f t="shared" si="2"/>
        <v>UK</v>
      </c>
      <c r="J11" t="str">
        <f t="shared" si="3"/>
        <v>OCT</v>
      </c>
    </row>
    <row r="12" spans="1:10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t="str">
        <f t="shared" si="0"/>
        <v>High Price</v>
      </c>
      <c r="H12" t="str">
        <f t="shared" si="1"/>
        <v>17-</v>
      </c>
      <c r="I12" t="str">
        <f t="shared" si="2"/>
        <v>IN</v>
      </c>
      <c r="J12" t="str">
        <f t="shared" si="3"/>
        <v>JUN</v>
      </c>
    </row>
    <row r="13" spans="1:10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t="str">
        <f t="shared" si="0"/>
        <v>Low price</v>
      </c>
      <c r="H13" t="str">
        <f t="shared" si="1"/>
        <v>25-</v>
      </c>
      <c r="I13" t="str">
        <f t="shared" si="2"/>
        <v>AU</v>
      </c>
      <c r="J13" t="str">
        <f t="shared" si="3"/>
        <v>NOV</v>
      </c>
    </row>
    <row r="14" spans="1:10" ht="15.75" customHeight="1" x14ac:dyDescent="0.25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t="str">
        <f t="shared" si="0"/>
        <v>Low price</v>
      </c>
      <c r="H14" t="str">
        <f t="shared" si="1"/>
        <v>08-</v>
      </c>
      <c r="I14" t="str">
        <f t="shared" si="2"/>
        <v>DE</v>
      </c>
      <c r="J14" t="str">
        <f t="shared" si="3"/>
        <v>DEC</v>
      </c>
    </row>
    <row r="15" spans="1:10" ht="15.75" customHeight="1" x14ac:dyDescent="0.25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t="str">
        <f t="shared" si="0"/>
        <v>Low price</v>
      </c>
      <c r="H15" t="str">
        <f t="shared" si="1"/>
        <v>18-</v>
      </c>
      <c r="I15" t="str">
        <f t="shared" si="2"/>
        <v>CA</v>
      </c>
      <c r="J15" t="str">
        <f t="shared" si="3"/>
        <v>FEB</v>
      </c>
    </row>
    <row r="16" spans="1:10" ht="15.75" customHeight="1" x14ac:dyDescent="0.25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t="str">
        <f t="shared" si="0"/>
        <v>Low price</v>
      </c>
      <c r="H16" t="str">
        <f t="shared" si="1"/>
        <v>16-</v>
      </c>
      <c r="I16" t="str">
        <f t="shared" si="2"/>
        <v>ES</v>
      </c>
      <c r="J16" t="str">
        <f t="shared" si="3"/>
        <v>APR</v>
      </c>
    </row>
    <row r="17" spans="1:10" ht="15.75" customHeight="1" x14ac:dyDescent="0.25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t="str">
        <f t="shared" si="0"/>
        <v>Low price</v>
      </c>
      <c r="H17" t="str">
        <f t="shared" si="1"/>
        <v>21-</v>
      </c>
      <c r="I17" t="str">
        <f t="shared" si="2"/>
        <v>CA</v>
      </c>
      <c r="J17" t="str">
        <f t="shared" si="3"/>
        <v>AUG</v>
      </c>
    </row>
    <row r="18" spans="1:10" ht="15.75" customHeight="1" x14ac:dyDescent="0.25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t="str">
        <f t="shared" si="0"/>
        <v>Low price</v>
      </c>
      <c r="H18" t="str">
        <f t="shared" si="1"/>
        <v>20-</v>
      </c>
      <c r="I18" t="str">
        <f t="shared" si="2"/>
        <v>CN</v>
      </c>
      <c r="J18" t="str">
        <f t="shared" si="3"/>
        <v>AUG</v>
      </c>
    </row>
    <row r="19" spans="1:10" ht="15.75" customHeight="1" x14ac:dyDescent="0.25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t="str">
        <f t="shared" si="0"/>
        <v>High Price</v>
      </c>
      <c r="H19" t="str">
        <f t="shared" si="1"/>
        <v>27-</v>
      </c>
      <c r="I19" t="str">
        <f t="shared" si="2"/>
        <v>IT</v>
      </c>
      <c r="J19" t="str">
        <f t="shared" si="3"/>
        <v>JAN</v>
      </c>
    </row>
    <row r="20" spans="1:10" ht="15.75" customHeight="1" x14ac:dyDescent="0.25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t="str">
        <f t="shared" si="0"/>
        <v>Low price</v>
      </c>
      <c r="H20" t="str">
        <f t="shared" si="1"/>
        <v>01-</v>
      </c>
      <c r="I20" t="str">
        <f t="shared" si="2"/>
        <v>UK</v>
      </c>
      <c r="J20" t="str">
        <f t="shared" si="3"/>
        <v>MAR</v>
      </c>
    </row>
    <row r="21" spans="1:10" ht="15.75" customHeight="1" x14ac:dyDescent="0.25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t="str">
        <f t="shared" si="0"/>
        <v>Low price</v>
      </c>
      <c r="H21" t="str">
        <f t="shared" si="1"/>
        <v>14-</v>
      </c>
      <c r="I21" t="str">
        <f t="shared" si="2"/>
        <v>US</v>
      </c>
      <c r="J21" t="str">
        <f t="shared" si="3"/>
        <v>AUG</v>
      </c>
    </row>
    <row r="22" spans="1:10" ht="15.75" customHeight="1" x14ac:dyDescent="0.25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t="str">
        <f t="shared" si="0"/>
        <v>High Price</v>
      </c>
      <c r="H22" t="str">
        <f t="shared" si="1"/>
        <v>14-</v>
      </c>
      <c r="I22" t="str">
        <f t="shared" si="2"/>
        <v>RU</v>
      </c>
      <c r="J22" t="str">
        <f t="shared" si="3"/>
        <v>MAY</v>
      </c>
    </row>
    <row r="23" spans="1:10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t="str">
        <f>IF(D23&gt;=500,"High Price","Low price")</f>
        <v>Low price</v>
      </c>
      <c r="H23" t="str">
        <f t="shared" si="1"/>
        <v>09-</v>
      </c>
      <c r="I23" t="str">
        <f t="shared" si="2"/>
        <v>CA</v>
      </c>
      <c r="J23" t="str">
        <f t="shared" si="3"/>
        <v>JAN</v>
      </c>
    </row>
    <row r="24" spans="1:10" ht="15.75" customHeight="1" x14ac:dyDescent="0.25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t="str">
        <f t="shared" si="0"/>
        <v>Low price</v>
      </c>
      <c r="H24" t="str">
        <f t="shared" si="1"/>
        <v>19-</v>
      </c>
      <c r="I24" t="str">
        <f t="shared" si="2"/>
        <v>BR</v>
      </c>
      <c r="J24" t="str">
        <f t="shared" si="3"/>
        <v>JUL</v>
      </c>
    </row>
    <row r="25" spans="1:10" ht="15.75" customHeight="1" x14ac:dyDescent="0.25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t="str">
        <f t="shared" si="0"/>
        <v>Low price</v>
      </c>
      <c r="H25" t="str">
        <f t="shared" si="1"/>
        <v>21-</v>
      </c>
      <c r="I25" t="str">
        <f t="shared" si="2"/>
        <v>CA</v>
      </c>
      <c r="J25" t="str">
        <f t="shared" si="3"/>
        <v>AUG</v>
      </c>
    </row>
    <row r="26" spans="1:10" ht="15.75" customHeight="1" x14ac:dyDescent="0.25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t="str">
        <f t="shared" si="0"/>
        <v>High Price</v>
      </c>
      <c r="H26" t="str">
        <f t="shared" si="1"/>
        <v>29-</v>
      </c>
      <c r="I26" t="str">
        <f t="shared" si="2"/>
        <v>CA</v>
      </c>
      <c r="J26" t="str">
        <f t="shared" si="3"/>
        <v>SEP</v>
      </c>
    </row>
    <row r="27" spans="1:10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t="str">
        <f t="shared" si="0"/>
        <v>Low price</v>
      </c>
      <c r="H27" t="str">
        <f t="shared" si="1"/>
        <v>03-</v>
      </c>
      <c r="I27" t="str">
        <f t="shared" si="2"/>
        <v>CA</v>
      </c>
      <c r="J27" t="str">
        <f t="shared" si="3"/>
        <v>JUN</v>
      </c>
    </row>
    <row r="28" spans="1:10" ht="15.75" customHeight="1" x14ac:dyDescent="0.25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t="str">
        <f t="shared" si="0"/>
        <v>Low price</v>
      </c>
      <c r="H28" t="str">
        <f t="shared" si="1"/>
        <v>11-</v>
      </c>
      <c r="I28" t="str">
        <f t="shared" si="2"/>
        <v>CA</v>
      </c>
      <c r="J28" t="str">
        <f t="shared" si="3"/>
        <v>JUL</v>
      </c>
    </row>
    <row r="29" spans="1:10" ht="15.75" customHeight="1" x14ac:dyDescent="0.2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t="str">
        <f t="shared" si="0"/>
        <v>Low price</v>
      </c>
      <c r="H29" t="str">
        <f t="shared" si="1"/>
        <v>16-</v>
      </c>
      <c r="I29" t="str">
        <f t="shared" si="2"/>
        <v>ES</v>
      </c>
      <c r="J29" t="str">
        <f t="shared" si="3"/>
        <v>APR</v>
      </c>
    </row>
    <row r="30" spans="1:10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t="str">
        <f t="shared" si="0"/>
        <v>Low price</v>
      </c>
      <c r="H30" t="str">
        <f t="shared" si="1"/>
        <v>07-</v>
      </c>
      <c r="I30" t="str">
        <f t="shared" si="2"/>
        <v>CA</v>
      </c>
      <c r="J30" t="str">
        <f t="shared" si="3"/>
        <v>MAR</v>
      </c>
    </row>
    <row r="31" spans="1:10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t="str">
        <f t="shared" si="0"/>
        <v>Low price</v>
      </c>
      <c r="H31" t="str">
        <f t="shared" si="1"/>
        <v>13-</v>
      </c>
      <c r="I31" t="str">
        <f t="shared" si="2"/>
        <v>CA</v>
      </c>
      <c r="J31" t="str">
        <f t="shared" si="3"/>
        <v>APR</v>
      </c>
    </row>
    <row r="32" spans="1:10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t="str">
        <f t="shared" si="0"/>
        <v>Low price</v>
      </c>
      <c r="H32" t="str">
        <f t="shared" si="1"/>
        <v>24-</v>
      </c>
      <c r="I32" t="str">
        <f t="shared" si="2"/>
        <v>CA</v>
      </c>
      <c r="J32" t="str">
        <f t="shared" si="3"/>
        <v>MAY</v>
      </c>
    </row>
    <row r="33" spans="1:10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t="str">
        <f t="shared" si="0"/>
        <v>Low price</v>
      </c>
      <c r="H33" t="str">
        <f t="shared" si="1"/>
        <v>02-</v>
      </c>
      <c r="I33" t="str">
        <f t="shared" si="2"/>
        <v>CA</v>
      </c>
      <c r="J33" t="str">
        <f t="shared" si="3"/>
        <v>DEC</v>
      </c>
    </row>
    <row r="34" spans="1:10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t="str">
        <f t="shared" si="0"/>
        <v>High Price</v>
      </c>
      <c r="H34" t="str">
        <f t="shared" si="1"/>
        <v>17-</v>
      </c>
      <c r="I34" t="str">
        <f t="shared" si="2"/>
        <v>IN</v>
      </c>
      <c r="J34" t="str">
        <f t="shared" si="3"/>
        <v>JUN</v>
      </c>
    </row>
    <row r="35" spans="1:10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t="str">
        <f t="shared" si="0"/>
        <v>Low price</v>
      </c>
      <c r="H35" t="str">
        <f t="shared" si="1"/>
        <v>09-</v>
      </c>
      <c r="I35" t="str">
        <f t="shared" si="2"/>
        <v>FR</v>
      </c>
      <c r="J3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>
      <c r="A39" t="s">
        <v>114</v>
      </c>
      <c r="B39">
        <f>SUM(D2:D35)</f>
        <v>10100</v>
      </c>
      <c r="D39" t="s">
        <v>115</v>
      </c>
      <c r="E39">
        <f>COUNTA(A2:A35)</f>
        <v>34</v>
      </c>
      <c r="G39" t="s">
        <v>116</v>
      </c>
      <c r="H39">
        <f>AVERAGE(D2:D35)</f>
        <v>297.05882352941177</v>
      </c>
    </row>
    <row r="40" spans="1:10" ht="15.75" customHeight="1" x14ac:dyDescent="0.25"/>
    <row r="41" spans="1:10" ht="15.75" customHeight="1" x14ac:dyDescent="0.25"/>
    <row r="42" spans="1:10" ht="15.75" customHeight="1" x14ac:dyDescent="0.25">
      <c r="A42" t="s">
        <v>117</v>
      </c>
      <c r="B42">
        <f>MIN(D2:D35)</f>
        <v>30</v>
      </c>
      <c r="D42" t="s">
        <v>118</v>
      </c>
      <c r="E42">
        <f>MAX(D2:D35)</f>
        <v>1000</v>
      </c>
    </row>
    <row r="43" spans="1:10" ht="15.75" customHeight="1" x14ac:dyDescent="0.25"/>
    <row r="44" spans="1:10" ht="15.75" customHeight="1" x14ac:dyDescent="0.25"/>
    <row r="45" spans="1:10" ht="15.75" customHeight="1" x14ac:dyDescent="0.25">
      <c r="A45" t="s">
        <v>119</v>
      </c>
      <c r="D45">
        <f>SUMIF(F2:F35,F29,D2:D35)</f>
        <v>8050</v>
      </c>
    </row>
    <row r="46" spans="1:10" ht="15.75" customHeight="1" x14ac:dyDescent="0.25"/>
    <row r="47" spans="1:10" ht="15.75" customHeight="1" x14ac:dyDescent="0.25"/>
    <row r="48" spans="1:10" ht="15.75" customHeight="1" x14ac:dyDescent="0.25">
      <c r="A48" t="s">
        <v>120</v>
      </c>
      <c r="D48">
        <f>COUNTIF(D2:D35,"&lt;100")</f>
        <v>11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prasad Kola</cp:lastModifiedBy>
  <dcterms:created xsi:type="dcterms:W3CDTF">2026-09-15T19:18:51Z</dcterms:created>
  <dcterms:modified xsi:type="dcterms:W3CDTF">2026-09-15T20:34:35Z</dcterms:modified>
</cp:coreProperties>
</file>